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éconciliation" sheetId="2" state="visible" r:id="rId2"/>
    <sheet name="Li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F1B30"/>
      <sz val="20"/>
    </font>
    <font>
      <name val="Arial"/>
      <b val="1"/>
      <color rgb="001857B8"/>
      <sz val="12"/>
    </font>
    <font>
      <name val="Arial"/>
      <color rgb="003B4452"/>
      <sz val="10"/>
    </font>
    <font>
      <name val="Arial"/>
      <b val="1"/>
      <color rgb="000F1B30"/>
      <sz val="11"/>
    </font>
    <font>
      <name val="Arial"/>
      <color rgb="00101826"/>
      <sz val="10"/>
    </font>
    <font>
      <name val="Arial"/>
      <b val="1"/>
      <color rgb="001857B8"/>
      <sz val="10"/>
    </font>
    <font>
      <name val="Arial"/>
      <b val="1"/>
      <color rgb="00101826"/>
      <sz val="10"/>
    </font>
    <font>
      <name val="Arial"/>
      <b val="1"/>
      <color rgb="00FFFFFF"/>
      <sz val="13"/>
    </font>
    <font>
      <name val="Arial"/>
      <i val="1"/>
      <color rgb="003B4452"/>
      <sz val="9"/>
    </font>
    <font>
      <name val="Arial"/>
      <b val="1"/>
      <color rgb="00FFFFFF"/>
      <sz val="9.5"/>
    </font>
    <font>
      <name val="Arial"/>
      <i val="1"/>
      <color rgb="006B7484"/>
      <sz val="9.5"/>
    </font>
    <font>
      <name val="Arial"/>
      <color rgb="00101826"/>
      <sz val="9.5"/>
    </font>
    <font>
      <name val="Arial"/>
      <b val="1"/>
      <color rgb="00101826"/>
      <sz val="9.5"/>
    </font>
    <font>
      <name val="Arial"/>
      <b val="1"/>
      <color rgb="00FFFFFF"/>
      <sz val="10"/>
    </font>
    <font>
      <name val="Arial"/>
      <b val="1"/>
      <color rgb="000F1B30"/>
      <sz val="10"/>
    </font>
  </fonts>
  <fills count="6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0F1B30"/>
      </patternFill>
    </fill>
    <fill>
      <patternFill patternType="solid">
        <fgColor rgb="0016233C"/>
      </patternFill>
    </fill>
    <fill>
      <patternFill patternType="solid">
        <fgColor rgb="00FFF3DC"/>
      </patternFill>
    </fill>
  </fills>
  <borders count="2">
    <border>
      <left/>
      <right/>
      <top/>
      <bottom/>
      <diagonal/>
    </border>
    <border>
      <left style="thin">
        <color rgb="00C6CDD6"/>
      </left>
      <right style="thin">
        <color rgb="00C6CDD6"/>
      </right>
      <top style="thin">
        <color rgb="00C6CDD6"/>
      </top>
      <bottom style="thin">
        <color rgb="00C6CD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vertical="center" inden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4" fontId="11" fillId="0" borderId="1" applyAlignment="1" pivotButton="0" quotePrefix="0" xfId="0">
      <alignment horizontal="center"/>
    </xf>
    <xf numFmtId="4" fontId="12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4" fontId="12" fillId="5" borderId="1" applyAlignment="1" pivotButton="0" quotePrefix="0" xfId="0">
      <alignment horizontal="center"/>
    </xf>
    <xf numFmtId="0" fontId="0" fillId="3" borderId="0" pivotButton="0" quotePrefix="0" xfId="0"/>
    <xf numFmtId="0" fontId="14" fillId="3" borderId="0" applyAlignment="1" pivotButton="0" quotePrefix="0" xfId="0">
      <alignment horizontal="right" indent="1"/>
    </xf>
    <xf numFmtId="4" fontId="14" fillId="3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8" customWidth="1" min="3" max="3"/>
  </cols>
  <sheetData>
    <row r="2">
      <c r="B2" s="1" t="inlineStr">
        <is>
          <t>abc Tuition</t>
        </is>
      </c>
    </row>
    <row r="3">
      <c r="B3" s="2" t="inlineStr">
        <is>
          <t>Gabarit de réconciliation des soldes des apprenants</t>
        </is>
      </c>
    </row>
    <row r="4">
      <c r="B4" s="3" t="inlineStr">
        <is>
          <t>Remplissez l'onglet « Réconciliation » puis importez ce fichier dans votre back-office abc Tuition.</t>
        </is>
      </c>
    </row>
    <row r="6">
      <c r="B6" s="4" t="inlineStr">
        <is>
          <t>Comment procéder</t>
        </is>
      </c>
      <c r="C6" s="5" t="n"/>
    </row>
    <row r="7">
      <c r="C7" s="6" t="inlineStr">
        <is>
          <t>1.  Ouvrez l'onglet « Réconciliation ».</t>
        </is>
      </c>
    </row>
    <row r="8">
      <c r="C8" s="6" t="inlineStr">
        <is>
          <t>2.  Une ligne d'EXEMPLE (en gris) montre le format attendu — supprimez-la avant l'import.</t>
        </is>
      </c>
    </row>
    <row r="9">
      <c r="C9" s="6" t="inlineStr">
        <is>
          <t>3.  Saisissez une ligne par apprenant et par type de frais (cellules à fond crème).</t>
        </is>
      </c>
    </row>
    <row r="10">
      <c r="C10" s="6" t="inlineStr">
        <is>
          <t>4.  Les colonnes Solde et Statut se calculent automatiquement — n'y touchez pas.</t>
        </is>
      </c>
    </row>
    <row r="11">
      <c r="C11" s="6" t="inlineStr">
        <is>
          <t>5.  Enregistrez, puis importez le fichier dans abc Tuition (Back-office → Frais / Import).</t>
        </is>
      </c>
    </row>
    <row r="13">
      <c r="B13" s="4" t="inlineStr">
        <is>
          <t>Colonnes (obligatoires en bleu)</t>
        </is>
      </c>
      <c r="C13" s="5" t="n"/>
    </row>
    <row r="14">
      <c r="B14" s="7" t="inlineStr">
        <is>
          <t>Matricule *</t>
        </is>
      </c>
      <c r="C14" s="8" t="inlineStr">
        <is>
          <t>Identifiant unique de l'apprenant dans votre établissement. CLÉ de réconciliation : il doit être identique à celui utilisé lors des paiements.</t>
        </is>
      </c>
    </row>
    <row r="15">
      <c r="B15" s="7" t="inlineStr">
        <is>
          <t>Nom *</t>
        </is>
      </c>
      <c r="C15" s="8" t="inlineStr">
        <is>
          <t>Nom de famille de l'apprenant.</t>
        </is>
      </c>
    </row>
    <row r="16">
      <c r="B16" s="9" t="inlineStr">
        <is>
          <t>Post-nom</t>
        </is>
      </c>
      <c r="C16" s="8" t="inlineStr">
        <is>
          <t>Post-nom (facultatif).</t>
        </is>
      </c>
    </row>
    <row r="17">
      <c r="B17" s="7" t="inlineStr">
        <is>
          <t>Prénom *</t>
        </is>
      </c>
      <c r="C17" s="8" t="inlineStr">
        <is>
          <t>Prénom de l'apprenant.</t>
        </is>
      </c>
    </row>
    <row r="18">
      <c r="B18" s="7" t="inlineStr">
        <is>
          <t>Classe / Promotion *</t>
        </is>
      </c>
      <c r="C18" s="8" t="inlineStr">
        <is>
          <t>Ex. : 4ème primaire, 5ème scientifique, L2 Droit, G3 Info.</t>
        </is>
      </c>
    </row>
    <row r="19">
      <c r="B19" s="7" t="inlineStr">
        <is>
          <t>Type de frais *</t>
        </is>
      </c>
      <c r="C19" s="8" t="inlineStr">
        <is>
          <t>Choisissez dans la liste déroulante (Minerval, Frais d'inscription, etc.).</t>
        </is>
      </c>
    </row>
    <row r="20">
      <c r="B20" s="9" t="inlineStr">
        <is>
          <t>Année académique</t>
        </is>
      </c>
      <c r="C20" s="8" t="inlineStr">
        <is>
          <t>Ex. : 2026-2027.</t>
        </is>
      </c>
    </row>
    <row r="21">
      <c r="B21" s="7" t="inlineStr">
        <is>
          <t>Montant dû (USD) *</t>
        </is>
      </c>
      <c r="C21" s="8" t="inlineStr">
        <is>
          <t>Montant total dû par l'apprenant pour ce type de frais.</t>
        </is>
      </c>
    </row>
    <row r="22">
      <c r="B22" s="9" t="inlineStr">
        <is>
          <t>Montant payé (USD)</t>
        </is>
      </c>
      <c r="C22" s="8" t="inlineStr">
        <is>
          <t>Montant déjà encaissé (0 si rien n'a été payé).</t>
        </is>
      </c>
    </row>
    <row r="23">
      <c r="B23" s="9" t="inlineStr">
        <is>
          <t>Solde (USD)</t>
        </is>
      </c>
      <c r="C23" s="8" t="inlineStr">
        <is>
          <t>CALCULÉ automatiquement = Dû − Payé. Ne pas modifier.</t>
        </is>
      </c>
    </row>
    <row r="24">
      <c r="B24" s="9" t="inlineStr">
        <is>
          <t>Statut</t>
        </is>
      </c>
      <c r="C24" s="8" t="inlineStr">
        <is>
          <t>CALCULÉ : Soldé / Partiel / Impayé. Ne pas modifier.</t>
        </is>
      </c>
    </row>
    <row r="25">
      <c r="B25" s="9" t="inlineStr">
        <is>
          <t>Téléphone parent</t>
        </is>
      </c>
      <c r="C25" s="8" t="inlineStr">
        <is>
          <t>Facultatif — format +243… (utile pour les relances).</t>
        </is>
      </c>
    </row>
    <row r="27">
      <c r="B27" s="4" t="inlineStr">
        <is>
          <t>Règles importantes</t>
        </is>
      </c>
      <c r="C27" s="5" t="n"/>
    </row>
    <row r="28">
      <c r="C28" s="6" t="inlineStr">
        <is>
          <t>• Un même apprenant peut avoir plusieurs lignes (une par type de frais).</t>
        </is>
      </c>
    </row>
    <row r="29">
      <c r="C29" s="6" t="inlineStr">
        <is>
          <t>• Le Matricule est la clé : un matricule erroné empêche l'imputation automatique des paiements.</t>
        </is>
      </c>
    </row>
    <row r="30">
      <c r="C30" s="6" t="inlineStr">
        <is>
          <t>• Montants en USD, sans symbole ni séparateur de milliers (ex. : 250 ou 250.50).</t>
        </is>
      </c>
    </row>
    <row r="31">
      <c r="C31" s="6" t="inlineStr">
        <is>
          <t>• Ne renommez pas les onglets ni les en-têtes de colonnes.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0" customWidth="1" min="5" max="5"/>
    <col width="20" customWidth="1" min="6" max="6"/>
    <col width="16" customWidth="1" min="7" max="7"/>
    <col width="16" customWidth="1" min="8" max="8"/>
    <col width="17" customWidth="1" min="9" max="9"/>
    <col width="14" customWidth="1" min="10" max="10"/>
    <col width="12" customWidth="1" min="11" max="11"/>
    <col width="16" customWidth="1" min="12" max="12"/>
  </cols>
  <sheetData>
    <row r="1" ht="26" customHeight="1">
      <c r="A1" s="10" t="inlineStr">
        <is>
          <t>abc Tuition — Réconciliation des soldes des apprenants</t>
        </is>
      </c>
    </row>
    <row r="2" ht="18" customHeight="1">
      <c r="A2" s="11" t="inlineStr">
        <is>
          <t>Une ligne par apprenant et par type de frais. Cellules crème = à remplir. Solde et Statut sont automatiques.</t>
        </is>
      </c>
    </row>
    <row r="4" ht="30" customHeight="1">
      <c r="A4" s="12" t="inlineStr">
        <is>
          <t>Matricule *</t>
        </is>
      </c>
      <c r="B4" s="12" t="inlineStr">
        <is>
          <t>Nom *</t>
        </is>
      </c>
      <c r="C4" s="12" t="inlineStr">
        <is>
          <t>Post-nom</t>
        </is>
      </c>
      <c r="D4" s="12" t="inlineStr">
        <is>
          <t>Prénom *</t>
        </is>
      </c>
      <c r="E4" s="12" t="inlineStr">
        <is>
          <t>Classe / Promotion *</t>
        </is>
      </c>
      <c r="F4" s="12" t="inlineStr">
        <is>
          <t>Type de frais *</t>
        </is>
      </c>
      <c r="G4" s="12" t="inlineStr">
        <is>
          <t>Année académique</t>
        </is>
      </c>
      <c r="H4" s="12" t="inlineStr">
        <is>
          <t>Montant dû (USD) *</t>
        </is>
      </c>
      <c r="I4" s="12" t="inlineStr">
        <is>
          <t>Montant payé (USD)</t>
        </is>
      </c>
      <c r="J4" s="12" t="inlineStr">
        <is>
          <t>Solde (USD)</t>
        </is>
      </c>
      <c r="K4" s="12" t="inlineStr">
        <is>
          <t>Statut</t>
        </is>
      </c>
      <c r="L4" s="12" t="inlineStr">
        <is>
          <t>Téléphone parent</t>
        </is>
      </c>
    </row>
    <row r="5">
      <c r="A5" s="13" t="inlineStr">
        <is>
          <t>EXEMPLE ▸ ISC-2026-0777</t>
        </is>
      </c>
      <c r="B5" s="13" t="inlineStr">
        <is>
          <t>KAVUALA</t>
        </is>
      </c>
      <c r="C5" s="13" t="inlineStr">
        <is>
          <t>KADIMA</t>
        </is>
      </c>
      <c r="D5" s="13" t="inlineStr">
        <is>
          <t>VINCENT</t>
        </is>
      </c>
      <c r="E5" s="13" t="inlineStr">
        <is>
          <t>L3 Droit</t>
        </is>
      </c>
      <c r="F5" s="13" t="inlineStr">
        <is>
          <t>Minerval</t>
        </is>
      </c>
      <c r="G5" s="13" t="inlineStr">
        <is>
          <t>2026-2027</t>
        </is>
      </c>
      <c r="H5" s="14" t="n">
        <v>250</v>
      </c>
      <c r="I5" s="14" t="n">
        <v>100</v>
      </c>
      <c r="J5" s="15">
        <f>IF(H5="","",H5-N(I5))</f>
        <v/>
      </c>
      <c r="K5" s="16">
        <f>IF(H5="","",IF((H5-N(I5))&lt;=0,"Soldé",IF(N(I5)&gt;0,"Partiel","Impayé")))</f>
        <v/>
      </c>
      <c r="L5" s="13" t="inlineStr">
        <is>
          <t>+243812345678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8" t="n"/>
      <c r="I6" s="18" t="n"/>
      <c r="J6" s="15">
        <f>IF(H6="","",H6-N(I6))</f>
        <v/>
      </c>
      <c r="K6" s="16">
        <f>IF(H6="","",IF((H6-N(I6))&lt;=0,"Soldé",IF(N(I6)&gt;0,"Partiel","Impayé")))</f>
        <v/>
      </c>
      <c r="L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8" t="n"/>
      <c r="I7" s="18" t="n"/>
      <c r="J7" s="15">
        <f>IF(H7="","",H7-N(I7))</f>
        <v/>
      </c>
      <c r="K7" s="16">
        <f>IF(H7="","",IF((H7-N(I7))&lt;=0,"Soldé",IF(N(I7)&gt;0,"Partiel","Impayé")))</f>
        <v/>
      </c>
      <c r="L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8" t="n"/>
      <c r="I8" s="18" t="n"/>
      <c r="J8" s="15">
        <f>IF(H8="","",H8-N(I8))</f>
        <v/>
      </c>
      <c r="K8" s="16">
        <f>IF(H8="","",IF((H8-N(I8))&lt;=0,"Soldé",IF(N(I8)&gt;0,"Partiel","Impayé")))</f>
        <v/>
      </c>
      <c r="L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8" t="n"/>
      <c r="I9" s="18" t="n"/>
      <c r="J9" s="15">
        <f>IF(H9="","",H9-N(I9))</f>
        <v/>
      </c>
      <c r="K9" s="16">
        <f>IF(H9="","",IF((H9-N(I9))&lt;=0,"Soldé",IF(N(I9)&gt;0,"Partiel","Impayé")))</f>
        <v/>
      </c>
      <c r="L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8" t="n"/>
      <c r="I10" s="18" t="n"/>
      <c r="J10" s="15">
        <f>IF(H10="","",H10-N(I10))</f>
        <v/>
      </c>
      <c r="K10" s="16">
        <f>IF(H10="","",IF((H10-N(I10))&lt;=0,"Soldé",IF(N(I10)&gt;0,"Partiel","Impayé")))</f>
        <v/>
      </c>
      <c r="L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8" t="n"/>
      <c r="I11" s="18" t="n"/>
      <c r="J11" s="15">
        <f>IF(H11="","",H11-N(I11))</f>
        <v/>
      </c>
      <c r="K11" s="16">
        <f>IF(H11="","",IF((H11-N(I11))&lt;=0,"Soldé",IF(N(I11)&gt;0,"Partiel","Impayé")))</f>
        <v/>
      </c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8" t="n"/>
      <c r="I12" s="18" t="n"/>
      <c r="J12" s="15">
        <f>IF(H12="","",H12-N(I12))</f>
        <v/>
      </c>
      <c r="K12" s="16">
        <f>IF(H12="","",IF((H12-N(I12))&lt;=0,"Soldé",IF(N(I12)&gt;0,"Partiel","Impayé")))</f>
        <v/>
      </c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8" t="n"/>
      <c r="I13" s="18" t="n"/>
      <c r="J13" s="15">
        <f>IF(H13="","",H13-N(I13))</f>
        <v/>
      </c>
      <c r="K13" s="16">
        <f>IF(H13="","",IF((H13-N(I13))&lt;=0,"Soldé",IF(N(I13)&gt;0,"Partiel","Impayé")))</f>
        <v/>
      </c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8" t="n"/>
      <c r="I14" s="18" t="n"/>
      <c r="J14" s="15">
        <f>IF(H14="","",H14-N(I14))</f>
        <v/>
      </c>
      <c r="K14" s="16">
        <f>IF(H14="","",IF((H14-N(I14))&lt;=0,"Soldé",IF(N(I14)&gt;0,"Partiel","Impayé")))</f>
        <v/>
      </c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8" t="n"/>
      <c r="I15" s="18" t="n"/>
      <c r="J15" s="15">
        <f>IF(H15="","",H15-N(I15))</f>
        <v/>
      </c>
      <c r="K15" s="16">
        <f>IF(H15="","",IF((H15-N(I15))&lt;=0,"Soldé",IF(N(I15)&gt;0,"Partiel","Impayé")))</f>
        <v/>
      </c>
      <c r="L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8" t="n"/>
      <c r="I16" s="18" t="n"/>
      <c r="J16" s="15">
        <f>IF(H16="","",H16-N(I16))</f>
        <v/>
      </c>
      <c r="K16" s="16">
        <f>IF(H16="","",IF((H16-N(I16))&lt;=0,"Soldé",IF(N(I16)&gt;0,"Partiel","Impayé")))</f>
        <v/>
      </c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8" t="n"/>
      <c r="I17" s="18" t="n"/>
      <c r="J17" s="15">
        <f>IF(H17="","",H17-N(I17))</f>
        <v/>
      </c>
      <c r="K17" s="16">
        <f>IF(H17="","",IF((H17-N(I17))&lt;=0,"Soldé",IF(N(I17)&gt;0,"Partiel","Impayé")))</f>
        <v/>
      </c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8" t="n"/>
      <c r="I18" s="18" t="n"/>
      <c r="J18" s="15">
        <f>IF(H18="","",H18-N(I18))</f>
        <v/>
      </c>
      <c r="K18" s="16">
        <f>IF(H18="","",IF((H18-N(I18))&lt;=0,"Soldé",IF(N(I18)&gt;0,"Partiel","Impayé")))</f>
        <v/>
      </c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8" t="n"/>
      <c r="I19" s="18" t="n"/>
      <c r="J19" s="15">
        <f>IF(H19="","",H19-N(I19))</f>
        <v/>
      </c>
      <c r="K19" s="16">
        <f>IF(H19="","",IF((H19-N(I19))&lt;=0,"Soldé",IF(N(I19)&gt;0,"Partiel","Impayé")))</f>
        <v/>
      </c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8" t="n"/>
      <c r="I20" s="18" t="n"/>
      <c r="J20" s="15">
        <f>IF(H20="","",H20-N(I20))</f>
        <v/>
      </c>
      <c r="K20" s="16">
        <f>IF(H20="","",IF((H20-N(I20))&lt;=0,"Soldé",IF(N(I20)&gt;0,"Partiel","Impayé")))</f>
        <v/>
      </c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8" t="n"/>
      <c r="I21" s="18" t="n"/>
      <c r="J21" s="15">
        <f>IF(H21="","",H21-N(I21))</f>
        <v/>
      </c>
      <c r="K21" s="16">
        <f>IF(H21="","",IF((H21-N(I21))&lt;=0,"Soldé",IF(N(I21)&gt;0,"Partiel","Impayé")))</f>
        <v/>
      </c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8" t="n"/>
      <c r="I22" s="18" t="n"/>
      <c r="J22" s="15">
        <f>IF(H22="","",H22-N(I22))</f>
        <v/>
      </c>
      <c r="K22" s="16">
        <f>IF(H22="","",IF((H22-N(I22))&lt;=0,"Soldé",IF(N(I22)&gt;0,"Partiel","Impayé")))</f>
        <v/>
      </c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8" t="n"/>
      <c r="I23" s="18" t="n"/>
      <c r="J23" s="15">
        <f>IF(H23="","",H23-N(I23))</f>
        <v/>
      </c>
      <c r="K23" s="16">
        <f>IF(H23="","",IF((H23-N(I23))&lt;=0,"Soldé",IF(N(I23)&gt;0,"Partiel","Impayé")))</f>
        <v/>
      </c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8" t="n"/>
      <c r="I24" s="18" t="n"/>
      <c r="J24" s="15">
        <f>IF(H24="","",H24-N(I24))</f>
        <v/>
      </c>
      <c r="K24" s="16">
        <f>IF(H24="","",IF((H24-N(I24))&lt;=0,"Soldé",IF(N(I24)&gt;0,"Partiel","Impayé")))</f>
        <v/>
      </c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8" t="n"/>
      <c r="I25" s="18" t="n"/>
      <c r="J25" s="15">
        <f>IF(H25="","",H25-N(I25))</f>
        <v/>
      </c>
      <c r="K25" s="16">
        <f>IF(H25="","",IF((H25-N(I25))&lt;=0,"Soldé",IF(N(I25)&gt;0,"Partiel","Impayé")))</f>
        <v/>
      </c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8" t="n"/>
      <c r="I26" s="18" t="n"/>
      <c r="J26" s="15">
        <f>IF(H26="","",H26-N(I26))</f>
        <v/>
      </c>
      <c r="K26" s="16">
        <f>IF(H26="","",IF((H26-N(I26))&lt;=0,"Soldé",IF(N(I26)&gt;0,"Partiel","Impayé")))</f>
        <v/>
      </c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8" t="n"/>
      <c r="I27" s="18" t="n"/>
      <c r="J27" s="15">
        <f>IF(H27="","",H27-N(I27))</f>
        <v/>
      </c>
      <c r="K27" s="16">
        <f>IF(H27="","",IF((H27-N(I27))&lt;=0,"Soldé",IF(N(I27)&gt;0,"Partiel","Impayé")))</f>
        <v/>
      </c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8" t="n"/>
      <c r="I28" s="18" t="n"/>
      <c r="J28" s="15">
        <f>IF(H28="","",H28-N(I28))</f>
        <v/>
      </c>
      <c r="K28" s="16">
        <f>IF(H28="","",IF((H28-N(I28))&lt;=0,"Soldé",IF(N(I28)&gt;0,"Partiel","Impayé")))</f>
        <v/>
      </c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8" t="n"/>
      <c r="I29" s="18" t="n"/>
      <c r="J29" s="15">
        <f>IF(H29="","",H29-N(I29))</f>
        <v/>
      </c>
      <c r="K29" s="16">
        <f>IF(H29="","",IF((H29-N(I29))&lt;=0,"Soldé",IF(N(I29)&gt;0,"Partiel","Impayé")))</f>
        <v/>
      </c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8" t="n"/>
      <c r="I30" s="18" t="n"/>
      <c r="J30" s="15">
        <f>IF(H30="","",H30-N(I30))</f>
        <v/>
      </c>
      <c r="K30" s="16">
        <f>IF(H30="","",IF((H30-N(I30))&lt;=0,"Soldé",IF(N(I30)&gt;0,"Partiel","Impayé")))</f>
        <v/>
      </c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8" t="n"/>
      <c r="I31" s="18" t="n"/>
      <c r="J31" s="15">
        <f>IF(H31="","",H31-N(I31))</f>
        <v/>
      </c>
      <c r="K31" s="16">
        <f>IF(H31="","",IF((H31-N(I31))&lt;=0,"Soldé",IF(N(I31)&gt;0,"Partiel","Impayé")))</f>
        <v/>
      </c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8" t="n"/>
      <c r="I32" s="18" t="n"/>
      <c r="J32" s="15">
        <f>IF(H32="","",H32-N(I32))</f>
        <v/>
      </c>
      <c r="K32" s="16">
        <f>IF(H32="","",IF((H32-N(I32))&lt;=0,"Soldé",IF(N(I32)&gt;0,"Partiel","Impayé")))</f>
        <v/>
      </c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8" t="n"/>
      <c r="I33" s="18" t="n"/>
      <c r="J33" s="15">
        <f>IF(H33="","",H33-N(I33))</f>
        <v/>
      </c>
      <c r="K33" s="16">
        <f>IF(H33="","",IF((H33-N(I33))&lt;=0,"Soldé",IF(N(I33)&gt;0,"Partiel","Impayé")))</f>
        <v/>
      </c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8" t="n"/>
      <c r="I34" s="18" t="n"/>
      <c r="J34" s="15">
        <f>IF(H34="","",H34-N(I34))</f>
        <v/>
      </c>
      <c r="K34" s="16">
        <f>IF(H34="","",IF((H34-N(I34))&lt;=0,"Soldé",IF(N(I34)&gt;0,"Partiel","Impayé")))</f>
        <v/>
      </c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8" t="n"/>
      <c r="I35" s="18" t="n"/>
      <c r="J35" s="15">
        <f>IF(H35="","",H35-N(I35))</f>
        <v/>
      </c>
      <c r="K35" s="16">
        <f>IF(H35="","",IF((H35-N(I35))&lt;=0,"Soldé",IF(N(I35)&gt;0,"Partiel","Impayé")))</f>
        <v/>
      </c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8" t="n"/>
      <c r="I36" s="18" t="n"/>
      <c r="J36" s="15">
        <f>IF(H36="","",H36-N(I36))</f>
        <v/>
      </c>
      <c r="K36" s="16">
        <f>IF(H36="","",IF((H36-N(I36))&lt;=0,"Soldé",IF(N(I36)&gt;0,"Partiel","Impayé")))</f>
        <v/>
      </c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8" t="n"/>
      <c r="I37" s="18" t="n"/>
      <c r="J37" s="15">
        <f>IF(H37="","",H37-N(I37))</f>
        <v/>
      </c>
      <c r="K37" s="16">
        <f>IF(H37="","",IF((H37-N(I37))&lt;=0,"Soldé",IF(N(I37)&gt;0,"Partiel","Impayé")))</f>
        <v/>
      </c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8" t="n"/>
      <c r="I38" s="18" t="n"/>
      <c r="J38" s="15">
        <f>IF(H38="","",H38-N(I38))</f>
        <v/>
      </c>
      <c r="K38" s="16">
        <f>IF(H38="","",IF((H38-N(I38))&lt;=0,"Soldé",IF(N(I38)&gt;0,"Partiel","Impayé")))</f>
        <v/>
      </c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8" t="n"/>
      <c r="I39" s="18" t="n"/>
      <c r="J39" s="15">
        <f>IF(H39="","",H39-N(I39))</f>
        <v/>
      </c>
      <c r="K39" s="16">
        <f>IF(H39="","",IF((H39-N(I39))&lt;=0,"Soldé",IF(N(I39)&gt;0,"Partiel","Impayé")))</f>
        <v/>
      </c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8" t="n"/>
      <c r="I40" s="18" t="n"/>
      <c r="J40" s="15">
        <f>IF(H40="","",H40-N(I40))</f>
        <v/>
      </c>
      <c r="K40" s="16">
        <f>IF(H40="","",IF((H40-N(I40))&lt;=0,"Soldé",IF(N(I40)&gt;0,"Partiel","Impayé")))</f>
        <v/>
      </c>
      <c r="L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8" t="n"/>
      <c r="I41" s="18" t="n"/>
      <c r="J41" s="15">
        <f>IF(H41="","",H41-N(I41))</f>
        <v/>
      </c>
      <c r="K41" s="16">
        <f>IF(H41="","",IF((H41-N(I41))&lt;=0,"Soldé",IF(N(I41)&gt;0,"Partiel","Impayé")))</f>
        <v/>
      </c>
      <c r="L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8" t="n"/>
      <c r="I42" s="18" t="n"/>
      <c r="J42" s="15">
        <f>IF(H42="","",H42-N(I42))</f>
        <v/>
      </c>
      <c r="K42" s="16">
        <f>IF(H42="","",IF((H42-N(I42))&lt;=0,"Soldé",IF(N(I42)&gt;0,"Partiel","Impayé")))</f>
        <v/>
      </c>
      <c r="L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8" t="n"/>
      <c r="I43" s="18" t="n"/>
      <c r="J43" s="15">
        <f>IF(H43="","",H43-N(I43))</f>
        <v/>
      </c>
      <c r="K43" s="16">
        <f>IF(H43="","",IF((H43-N(I43))&lt;=0,"Soldé",IF(N(I43)&gt;0,"Partiel","Impayé")))</f>
        <v/>
      </c>
      <c r="L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8" t="n"/>
      <c r="I44" s="18" t="n"/>
      <c r="J44" s="15">
        <f>IF(H44="","",H44-N(I44))</f>
        <v/>
      </c>
      <c r="K44" s="16">
        <f>IF(H44="","",IF((H44-N(I44))&lt;=0,"Soldé",IF(N(I44)&gt;0,"Partiel","Impayé")))</f>
        <v/>
      </c>
      <c r="L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8" t="n"/>
      <c r="I45" s="18" t="n"/>
      <c r="J45" s="15">
        <f>IF(H45="","",H45-N(I45))</f>
        <v/>
      </c>
      <c r="K45" s="16">
        <f>IF(H45="","",IF((H45-N(I45))&lt;=0,"Soldé",IF(N(I45)&gt;0,"Partiel","Impayé")))</f>
        <v/>
      </c>
      <c r="L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8" t="n"/>
      <c r="I46" s="18" t="n"/>
      <c r="J46" s="15">
        <f>IF(H46="","",H46-N(I46))</f>
        <v/>
      </c>
      <c r="K46" s="16">
        <f>IF(H46="","",IF((H46-N(I46))&lt;=0,"Soldé",IF(N(I46)&gt;0,"Partiel","Impayé")))</f>
        <v/>
      </c>
      <c r="L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8" t="n"/>
      <c r="I47" s="18" t="n"/>
      <c r="J47" s="15">
        <f>IF(H47="","",H47-N(I47))</f>
        <v/>
      </c>
      <c r="K47" s="16">
        <f>IF(H47="","",IF((H47-N(I47))&lt;=0,"Soldé",IF(N(I47)&gt;0,"Partiel","Impayé")))</f>
        <v/>
      </c>
      <c r="L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8" t="n"/>
      <c r="I48" s="18" t="n"/>
      <c r="J48" s="15">
        <f>IF(H48="","",H48-N(I48))</f>
        <v/>
      </c>
      <c r="K48" s="16">
        <f>IF(H48="","",IF((H48-N(I48))&lt;=0,"Soldé",IF(N(I48)&gt;0,"Partiel","Impayé")))</f>
        <v/>
      </c>
      <c r="L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8" t="n"/>
      <c r="I49" s="18" t="n"/>
      <c r="J49" s="15">
        <f>IF(H49="","",H49-N(I49))</f>
        <v/>
      </c>
      <c r="K49" s="16">
        <f>IF(H49="","",IF((H49-N(I49))&lt;=0,"Soldé",IF(N(I49)&gt;0,"Partiel","Impayé")))</f>
        <v/>
      </c>
      <c r="L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8" t="n"/>
      <c r="I50" s="18" t="n"/>
      <c r="J50" s="15">
        <f>IF(H50="","",H50-N(I50))</f>
        <v/>
      </c>
      <c r="K50" s="16">
        <f>IF(H50="","",IF((H50-N(I50))&lt;=0,"Soldé",IF(N(I50)&gt;0,"Partiel","Impayé")))</f>
        <v/>
      </c>
      <c r="L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8" t="n"/>
      <c r="I51" s="18" t="n"/>
      <c r="J51" s="15">
        <f>IF(H51="","",H51-N(I51))</f>
        <v/>
      </c>
      <c r="K51" s="16">
        <f>IF(H51="","",IF((H51-N(I51))&lt;=0,"Soldé",IF(N(I51)&gt;0,"Partiel","Impayé")))</f>
        <v/>
      </c>
      <c r="L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8" t="n"/>
      <c r="I52" s="18" t="n"/>
      <c r="J52" s="15">
        <f>IF(H52="","",H52-N(I52))</f>
        <v/>
      </c>
      <c r="K52" s="16">
        <f>IF(H52="","",IF((H52-N(I52))&lt;=0,"Soldé",IF(N(I52)&gt;0,"Partiel","Impayé")))</f>
        <v/>
      </c>
      <c r="L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8" t="n"/>
      <c r="I53" s="18" t="n"/>
      <c r="J53" s="15">
        <f>IF(H53="","",H53-N(I53))</f>
        <v/>
      </c>
      <c r="K53" s="16">
        <f>IF(H53="","",IF((H53-N(I53))&lt;=0,"Soldé",IF(N(I53)&gt;0,"Partiel","Impayé")))</f>
        <v/>
      </c>
      <c r="L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8" t="n"/>
      <c r="I54" s="18" t="n"/>
      <c r="J54" s="15">
        <f>IF(H54="","",H54-N(I54))</f>
        <v/>
      </c>
      <c r="K54" s="16">
        <f>IF(H54="","",IF((H54-N(I54))&lt;=0,"Soldé",IF(N(I54)&gt;0,"Partiel","Impayé")))</f>
        <v/>
      </c>
      <c r="L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8" t="n"/>
      <c r="I55" s="18" t="n"/>
      <c r="J55" s="15">
        <f>IF(H55="","",H55-N(I55))</f>
        <v/>
      </c>
      <c r="K55" s="16">
        <f>IF(H55="","",IF((H55-N(I55))&lt;=0,"Soldé",IF(N(I55)&gt;0,"Partiel","Impayé")))</f>
        <v/>
      </c>
      <c r="L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8" t="n"/>
      <c r="I56" s="18" t="n"/>
      <c r="J56" s="15">
        <f>IF(H56="","",H56-N(I56))</f>
        <v/>
      </c>
      <c r="K56" s="16">
        <f>IF(H56="","",IF((H56-N(I56))&lt;=0,"Soldé",IF(N(I56)&gt;0,"Partiel","Impayé")))</f>
        <v/>
      </c>
      <c r="L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8" t="n"/>
      <c r="I57" s="18" t="n"/>
      <c r="J57" s="15">
        <f>IF(H57="","",H57-N(I57))</f>
        <v/>
      </c>
      <c r="K57" s="16">
        <f>IF(H57="","",IF((H57-N(I57))&lt;=0,"Soldé",IF(N(I57)&gt;0,"Partiel","Impayé")))</f>
        <v/>
      </c>
      <c r="L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8" t="n"/>
      <c r="I58" s="18" t="n"/>
      <c r="J58" s="15">
        <f>IF(H58="","",H58-N(I58))</f>
        <v/>
      </c>
      <c r="K58" s="16">
        <f>IF(H58="","",IF((H58-N(I58))&lt;=0,"Soldé",IF(N(I58)&gt;0,"Partiel","Impayé")))</f>
        <v/>
      </c>
      <c r="L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8" t="n"/>
      <c r="I59" s="18" t="n"/>
      <c r="J59" s="15">
        <f>IF(H59="","",H59-N(I59))</f>
        <v/>
      </c>
      <c r="K59" s="16">
        <f>IF(H59="","",IF((H59-N(I59))&lt;=0,"Soldé",IF(N(I59)&gt;0,"Partiel","Impayé")))</f>
        <v/>
      </c>
      <c r="L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8" t="n"/>
      <c r="I60" s="18" t="n"/>
      <c r="J60" s="15">
        <f>IF(H60="","",H60-N(I60))</f>
        <v/>
      </c>
      <c r="K60" s="16">
        <f>IF(H60="","",IF((H60-N(I60))&lt;=0,"Soldé",IF(N(I60)&gt;0,"Partiel","Impayé")))</f>
        <v/>
      </c>
      <c r="L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8" t="n"/>
      <c r="I61" s="18" t="n"/>
      <c r="J61" s="15">
        <f>IF(H61="","",H61-N(I61))</f>
        <v/>
      </c>
      <c r="K61" s="16">
        <f>IF(H61="","",IF((H61-N(I61))&lt;=0,"Soldé",IF(N(I61)&gt;0,"Partiel","Impayé")))</f>
        <v/>
      </c>
      <c r="L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8" t="n"/>
      <c r="I62" s="18" t="n"/>
      <c r="J62" s="15">
        <f>IF(H62="","",H62-N(I62))</f>
        <v/>
      </c>
      <c r="K62" s="16">
        <f>IF(H62="","",IF((H62-N(I62))&lt;=0,"Soldé",IF(N(I62)&gt;0,"Partiel","Impayé")))</f>
        <v/>
      </c>
      <c r="L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8" t="n"/>
      <c r="I63" s="18" t="n"/>
      <c r="J63" s="15">
        <f>IF(H63="","",H63-N(I63))</f>
        <v/>
      </c>
      <c r="K63" s="16">
        <f>IF(H63="","",IF((H63-N(I63))&lt;=0,"Soldé",IF(N(I63)&gt;0,"Partiel","Impayé")))</f>
        <v/>
      </c>
      <c r="L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8" t="n"/>
      <c r="I64" s="18" t="n"/>
      <c r="J64" s="15">
        <f>IF(H64="","",H64-N(I64))</f>
        <v/>
      </c>
      <c r="K64" s="16">
        <f>IF(H64="","",IF((H64-N(I64))&lt;=0,"Soldé",IF(N(I64)&gt;0,"Partiel","Impayé")))</f>
        <v/>
      </c>
      <c r="L64" s="17" t="n"/>
    </row>
    <row r="65">
      <c r="A65" s="19" t="n"/>
      <c r="B65" s="19" t="n"/>
      <c r="C65" s="19" t="n"/>
      <c r="D65" s="19" t="n"/>
      <c r="E65" s="19" t="n"/>
      <c r="F65" s="19" t="n"/>
      <c r="G65" s="20" t="inlineStr">
        <is>
          <t>TOTAL</t>
        </is>
      </c>
      <c r="H65" s="21">
        <f>SUM(H5:H64)</f>
        <v/>
      </c>
      <c r="I65" s="21">
        <f>SUM(I5:I64)</f>
        <v/>
      </c>
      <c r="J65" s="21">
        <f>SUM(J5:J64)</f>
        <v/>
      </c>
      <c r="K65" s="19" t="n"/>
      <c r="L65" s="19" t="n"/>
    </row>
  </sheetData>
  <mergeCells count="2">
    <mergeCell ref="A2:L2"/>
    <mergeCell ref="A1:L1"/>
  </mergeCells>
  <dataValidations count="2">
    <dataValidation sqref="F5:F64" showDropDown="0" showInputMessage="0" showErrorMessage="0" allowBlank="1" errorTitle="Valeur invalide" error="Choisissez un type de frais dans la liste." prompt="Sélectionnez un type de frais." type="list">
      <formula1>=Listes!$A$2:$A$10</formula1>
    </dataValidation>
    <dataValidation sqref="H5:I64" showDropDown="0" showInputMessage="0" showErrorMessage="0" allowBlank="1" errorTitle="Montant invalide" error="Le montant doit être un nombre positif (USD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2" t="inlineStr">
        <is>
          <t>Types de frais</t>
        </is>
      </c>
    </row>
    <row r="2">
      <c r="A2" s="6" t="inlineStr">
        <is>
          <t>Minerval</t>
        </is>
      </c>
    </row>
    <row r="3">
      <c r="A3" s="6" t="inlineStr">
        <is>
          <t>Frais d'inscription</t>
        </is>
      </c>
    </row>
    <row r="4">
      <c r="A4" s="6" t="inlineStr">
        <is>
          <t>Frais scolaires</t>
        </is>
      </c>
    </row>
    <row r="5">
      <c r="A5" s="6" t="inlineStr">
        <is>
          <t>Frais académiques</t>
        </is>
      </c>
    </row>
    <row r="6">
      <c r="A6" s="6" t="inlineStr">
        <is>
          <t>Frais d'examen</t>
        </is>
      </c>
    </row>
    <row r="7">
      <c r="A7" s="6" t="inlineStr">
        <is>
          <t>Frais de laboratoire</t>
        </is>
      </c>
    </row>
    <row r="8">
      <c r="A8" s="6" t="inlineStr">
        <is>
          <t>Frais de cantine</t>
        </is>
      </c>
    </row>
    <row r="9">
      <c r="A9" s="6" t="inlineStr">
        <is>
          <t>Frais de transport</t>
        </is>
      </c>
    </row>
    <row r="10">
      <c r="A10" s="6" t="inlineStr">
        <is>
          <t>Frais divers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2026-08-01T00:17:42Z</dcterms:created>
  <dcterms:modified xsi:type="dcterms:W3CDTF">2026-08-01T00:17:42Z</dcterms:modified>
</cp:coreProperties>
</file>